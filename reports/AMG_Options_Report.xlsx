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1" autoFilterDateGrouping="1"/>
  </bookViews>
  <sheets>
    <sheet name="Input" sheetId="1" state="visible" r:id="rId1"/>
    <sheet name="Output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00_);_(&quot;$&quot;* \(#,##0.0000\);_(&quot;$&quot;* &quot;-&quot;_);_(@_)"/>
    <numFmt numFmtId="165" formatCode="&quot;$&quot;#,##0.00"/>
    <numFmt numFmtId="166" formatCode="[$-F800]dddd\,\ mmmm\ dd\,\ yyyy"/>
  </numFmts>
  <fonts count="1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color theme="0"/>
      <sz val="26"/>
    </font>
    <font>
      <name val="Times New Roman"/>
      <family val="1"/>
      <color theme="1"/>
      <sz val="26"/>
    </font>
    <font>
      <name val="Aptos Narrow"/>
      <family val="2"/>
      <b val="1"/>
      <color theme="1"/>
      <sz val="20"/>
      <scheme val="minor"/>
    </font>
    <font>
      <name val="Aptos Narrow"/>
      <family val="2"/>
      <b val="1"/>
      <color theme="0"/>
      <sz val="20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0"/>
      <sz val="11"/>
    </font>
    <font>
      <name val="Times New Roman"/>
      <family val="1"/>
      <b val="1"/>
      <color theme="0"/>
      <sz val="48"/>
    </font>
    <font>
      <name val="Times New Roman"/>
      <family val="1"/>
      <b val="1"/>
      <color theme="1"/>
      <sz val="12"/>
    </font>
    <font>
      <name val="Times New Roman"/>
      <family val="1"/>
      <color rgb="FF0000FF"/>
      <sz val="12"/>
    </font>
    <font>
      <name val="Aptos Narrow"/>
      <family val="2"/>
      <color theme="1"/>
      <sz val="20"/>
      <scheme val="minor"/>
    </font>
  </fonts>
  <fills count="8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64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2" fillId="2" borderId="9" pivotButton="0" quotePrefix="0" xfId="0"/>
    <xf numFmtId="0" fontId="3" fillId="3" borderId="9" pivotButton="0" quotePrefix="0" xfId="0"/>
    <xf numFmtId="10" fontId="0" fillId="0" borderId="10" pivotButton="0" quotePrefix="0" xfId="2"/>
    <xf numFmtId="0" fontId="2" fillId="2" borderId="11" pivotButton="0" quotePrefix="0" xfId="0"/>
    <xf numFmtId="0" fontId="5" fillId="0" borderId="0" pivotButton="0" quotePrefix="0" xfId="0"/>
    <xf numFmtId="0" fontId="6" fillId="3" borderId="9" pivotButton="0" quotePrefix="0" xfId="0"/>
    <xf numFmtId="0" fontId="7" fillId="2" borderId="9" pivotButton="0" quotePrefix="0" xfId="0"/>
    <xf numFmtId="0" fontId="7" fillId="2" borderId="0" pivotButton="0" quotePrefix="0" xfId="0"/>
    <xf numFmtId="0" fontId="9" fillId="0" borderId="15" applyAlignment="1" pivotButton="0" quotePrefix="0" xfId="0">
      <alignment horizontal="center"/>
    </xf>
    <xf numFmtId="0" fontId="10" fillId="2" borderId="15" applyAlignment="1" pivotButton="0" quotePrefix="0" xfId="0">
      <alignment horizontal="center"/>
    </xf>
    <xf numFmtId="0" fontId="9" fillId="3" borderId="15" applyAlignment="1" pivotButton="0" quotePrefix="0" xfId="0">
      <alignment horizontal="center"/>
    </xf>
    <xf numFmtId="164" fontId="8" fillId="7" borderId="15" applyAlignment="1" pivotButton="0" quotePrefix="0" xfId="0">
      <alignment horizontal="center"/>
    </xf>
    <xf numFmtId="0" fontId="11" fillId="2" borderId="0" applyAlignment="1" pivotButton="0" quotePrefix="0" xfId="0">
      <alignment horizontal="center"/>
    </xf>
    <xf numFmtId="0" fontId="12" fillId="4" borderId="20" applyAlignment="1" pivotButton="0" quotePrefix="0" xfId="0">
      <alignment horizontal="center"/>
    </xf>
    <xf numFmtId="0" fontId="12" fillId="4" borderId="2" applyAlignment="1" pivotButton="0" quotePrefix="0" xfId="0">
      <alignment horizontal="center"/>
    </xf>
    <xf numFmtId="0" fontId="8" fillId="0" borderId="0" pivotButton="0" quotePrefix="0" xfId="0"/>
    <xf numFmtId="165" fontId="12" fillId="5" borderId="1" pivotButton="0" quotePrefix="0" xfId="0"/>
    <xf numFmtId="165" fontId="8" fillId="0" borderId="15" pivotButton="0" quotePrefix="0" xfId="0"/>
    <xf numFmtId="165" fontId="12" fillId="5" borderId="4" pivotButton="0" quotePrefix="0" xfId="0"/>
    <xf numFmtId="0" fontId="9" fillId="4" borderId="12" applyAlignment="1" pivotButton="0" quotePrefix="0" xfId="0">
      <alignment horizontal="centerContinuous"/>
    </xf>
    <xf numFmtId="0" fontId="9" fillId="4" borderId="13" applyAlignment="1" pivotButton="0" quotePrefix="0" xfId="0">
      <alignment horizontal="centerContinuous"/>
    </xf>
    <xf numFmtId="0" fontId="9" fillId="4" borderId="14" applyAlignment="1" pivotButton="0" quotePrefix="0" xfId="0">
      <alignment horizontal="centerContinuous"/>
    </xf>
    <xf numFmtId="0" fontId="8" fillId="5" borderId="1" pivotButton="0" quotePrefix="0" xfId="0"/>
    <xf numFmtId="0" fontId="13" fillId="3" borderId="15" pivotButton="0" quotePrefix="0" xfId="0"/>
    <xf numFmtId="0" fontId="8" fillId="5" borderId="15" pivotButton="0" quotePrefix="0" xfId="0"/>
    <xf numFmtId="0" fontId="8" fillId="5" borderId="18" pivotButton="0" quotePrefix="0" xfId="0"/>
    <xf numFmtId="0" fontId="8" fillId="5" borderId="19" pivotButton="0" quotePrefix="0" xfId="0"/>
    <xf numFmtId="0" fontId="8" fillId="5" borderId="4" pivotButton="0" quotePrefix="0" xfId="0"/>
    <xf numFmtId="0" fontId="8" fillId="6" borderId="16" pivotButton="0" quotePrefix="0" xfId="0"/>
    <xf numFmtId="0" fontId="8" fillId="0" borderId="15" pivotButton="0" quotePrefix="0" xfId="0"/>
    <xf numFmtId="0" fontId="8" fillId="5" borderId="6" pivotButton="0" quotePrefix="0" xfId="0"/>
    <xf numFmtId="0" fontId="8" fillId="6" borderId="17" pivotButton="0" quotePrefix="0" xfId="0"/>
    <xf numFmtId="0" fontId="8" fillId="6" borderId="15" pivotButton="0" quotePrefix="0" xfId="0"/>
    <xf numFmtId="0" fontId="9" fillId="4" borderId="15" applyAlignment="1" pivotButton="0" quotePrefix="0" xfId="0">
      <alignment horizontal="centerContinuous"/>
    </xf>
    <xf numFmtId="0" fontId="0" fillId="0" borderId="10" pivotButton="0" quotePrefix="0" xfId="0"/>
    <xf numFmtId="2" fontId="0" fillId="0" borderId="10" pivotButton="0" quotePrefix="0" xfId="2"/>
    <xf numFmtId="165" fontId="0" fillId="0" borderId="10" pivotButton="0" quotePrefix="0" xfId="1"/>
    <xf numFmtId="49" fontId="0" fillId="0" borderId="10" pivotButton="0" quotePrefix="0" xfId="2"/>
    <xf numFmtId="166" fontId="0" fillId="0" borderId="10" pivotButton="0" quotePrefix="0" xfId="2"/>
    <xf numFmtId="0" fontId="14" fillId="0" borderId="0" pivotButton="0" quotePrefix="0" xfId="0"/>
    <xf numFmtId="0" fontId="4" fillId="2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5" fontId="0" fillId="0" borderId="10" pivotButton="0" quotePrefix="0" xfId="1"/>
    <xf numFmtId="166" fontId="0" fillId="0" borderId="10" pivotButton="0" quotePrefix="0" xfId="2"/>
    <xf numFmtId="165" fontId="12" fillId="5" borderId="1" pivotButton="0" quotePrefix="0" xfId="0"/>
    <xf numFmtId="165" fontId="8" fillId="0" borderId="15" pivotButton="0" quotePrefix="0" xfId="0"/>
    <xf numFmtId="165" fontId="12" fillId="5" borderId="4" pivotButton="0" quotePrefix="0" xfId="0"/>
    <xf numFmtId="164" fontId="8" fillId="7" borderId="15" applyAlignment="1" pivotButton="0" quotePrefix="0" xfId="0">
      <alignment horizontal="center"/>
    </xf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Pt>
            <idx val="19"/>
            <marker>
              <symbol val="none"/>
              <spPr>
                <a:ln>
                  <a:prstDash val="solid"/>
                </a:ln>
              </spPr>
            </marker>
            <bubble3D val="0"/>
            <spPr>
              <a:ln w="28575" cap="rnd">
                <a:solidFill>
                  <a:srgbClr val="1F4E78"/>
                </a:solidFill>
                <a:prstDash val="solid"/>
                <a:round/>
              </a:ln>
            </spPr>
          </dPt>
          <cat>
            <numRef>
              <f>Output!$O$2:$O$51</f>
              <numCache>
                <formatCode>"$"#,##0.00</formatCode>
                <ptCount val="50"/>
              </numCache>
            </numRef>
          </cat>
          <val>
            <numRef>
              <f>Output!$T$2:$T$51</f>
              <numCache>
                <formatCode>"$"#,##0.00</formatCode>
                <ptCount val="5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41749904"/>
        <axId val="1632483568"/>
      </lineChart>
      <catAx>
        <axId val="1641749904"/>
        <scaling>
          <orientation val="minMax"/>
        </scaling>
        <delete val="0"/>
        <axPos val="b"/>
        <numFmt formatCode="&quot;$&quot;#,##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/>
            </a:solidFill>
            <a:prstDash val="solid"/>
            <a:round/>
          </a:ln>
        </spPr>
        <txPr>
          <a:bodyPr rot="-2700000" spcFirstLastPara="1" vertOverflow="ellipsis" wrap="square" anchor="b" anchorCtr="1"/>
          <a:lstStyle/>
          <a:p>
            <a:pPr>
              <a:defRPr sz="1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en-US"/>
          </a:p>
        </txPr>
        <crossAx val="1632483568"/>
        <crosses val="autoZero"/>
        <auto val="1"/>
        <lblAlgn val="ctr"/>
        <lblOffset val="100"/>
        <tickLblSkip val="10"/>
        <tickMarkSkip val="3"/>
        <noMultiLvlLbl val="0"/>
      </catAx>
      <valAx>
        <axId val="1632483568"/>
        <scaling>
          <orientation val="minMax"/>
          <min val="-4"/>
        </scaling>
        <delete val="0"/>
        <axPos val="l"/>
        <majorGridlines>
          <spPr>
            <a:ln w="9525" cap="flat" cmpd="sng" algn="ctr">
              <a:noFill/>
              <a:prstDash val="solid"/>
              <a:round/>
            </a:ln>
          </spPr>
        </majorGridlines>
        <numFmt formatCode="&quot;$&quot;#,##0.00" sourceLinked="1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en-US"/>
          </a:p>
        </txPr>
        <crossAx val="1641749904"/>
        <crosses val="autoZero"/>
        <crossBetween val="between"/>
      </valAx>
    </plotArea>
    <plotVisOnly val="1"/>
    <dispBlanksAs val="gap"/>
  </chart>
  <spPr>
    <a:noFill/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333374</colOff>
      <row>8</row>
      <rowOff>161925</rowOff>
    </from>
    <to>
      <col>13</col>
      <colOff>504824</colOff>
      <row>23</row>
      <rowOff>57150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AMG_BSM_Payoff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__FDSCACHE__"/>
      <sheetName val="BSM"/>
      <sheetName val="BSM '76"/>
      <sheetName val="Payoff Diagram"/>
      <sheetName val="Capital Allocation Slide"/>
      <sheetName val="Control"/>
      <sheetName val="DCF"/>
      <sheetName val="Comps"/>
      <sheetName val="DCF Output"/>
      <sheetName val="Comps Output"/>
      <sheetName val="Price Output"/>
      <sheetName val="__APW_ACTIVE_FIELD_RESTORE__"/>
    </sheetNames>
    <sheetDataSet>
      <sheetData sheetId="0"/>
      <sheetData sheetId="1"/>
      <sheetData sheetId="2"/>
      <sheetData sheetId="3">
        <row r="9">
          <cell r="J9">
            <v>80</v>
          </cell>
          <cell r="O9">
            <v>0</v>
          </cell>
        </row>
        <row r="10">
          <cell r="J10">
            <v>81</v>
          </cell>
          <cell r="O10">
            <v>0</v>
          </cell>
        </row>
        <row r="11">
          <cell r="J11">
            <v>82</v>
          </cell>
          <cell r="O11">
            <v>0</v>
          </cell>
        </row>
        <row r="12">
          <cell r="J12">
            <v>83</v>
          </cell>
          <cell r="O12">
            <v>0</v>
          </cell>
        </row>
        <row r="13">
          <cell r="J13">
            <v>84</v>
          </cell>
          <cell r="O13">
            <v>0</v>
          </cell>
        </row>
        <row r="14">
          <cell r="J14">
            <v>85</v>
          </cell>
          <cell r="O14">
            <v>0</v>
          </cell>
        </row>
        <row r="15">
          <cell r="J15">
            <v>86</v>
          </cell>
          <cell r="O15">
            <v>0</v>
          </cell>
        </row>
        <row r="16">
          <cell r="J16">
            <v>87</v>
          </cell>
          <cell r="O16">
            <v>0</v>
          </cell>
        </row>
        <row r="17">
          <cell r="J17">
            <v>88</v>
          </cell>
          <cell r="O17">
            <v>0</v>
          </cell>
        </row>
        <row r="18">
          <cell r="J18">
            <v>89</v>
          </cell>
          <cell r="O18">
            <v>0</v>
          </cell>
        </row>
        <row r="19">
          <cell r="J19">
            <v>90</v>
          </cell>
          <cell r="O19">
            <v>0</v>
          </cell>
        </row>
        <row r="20">
          <cell r="J20">
            <v>91</v>
          </cell>
          <cell r="O20">
            <v>10000</v>
          </cell>
        </row>
        <row r="21">
          <cell r="J21">
            <v>92</v>
          </cell>
          <cell r="O21">
            <v>20000</v>
          </cell>
        </row>
        <row r="22">
          <cell r="J22">
            <v>93</v>
          </cell>
          <cell r="O22">
            <v>30000</v>
          </cell>
        </row>
        <row r="23">
          <cell r="J23">
            <v>94</v>
          </cell>
          <cell r="O23">
            <v>40000</v>
          </cell>
        </row>
        <row r="24">
          <cell r="J24">
            <v>95</v>
          </cell>
          <cell r="O24">
            <v>50000</v>
          </cell>
        </row>
        <row r="25">
          <cell r="J25">
            <v>96</v>
          </cell>
          <cell r="O25">
            <v>50000</v>
          </cell>
        </row>
        <row r="26">
          <cell r="J26">
            <v>97</v>
          </cell>
          <cell r="O26">
            <v>50000</v>
          </cell>
        </row>
        <row r="27">
          <cell r="J27">
            <v>98</v>
          </cell>
          <cell r="O27">
            <v>50000</v>
          </cell>
        </row>
        <row r="28">
          <cell r="J28">
            <v>99</v>
          </cell>
          <cell r="O28">
            <v>50000</v>
          </cell>
        </row>
        <row r="29">
          <cell r="J29">
            <v>100</v>
          </cell>
          <cell r="O29">
            <v>50000</v>
          </cell>
        </row>
        <row r="30">
          <cell r="J30">
            <v>101</v>
          </cell>
          <cell r="O30">
            <v>50000</v>
          </cell>
        </row>
        <row r="31">
          <cell r="J31">
            <v>102</v>
          </cell>
          <cell r="O31">
            <v>50000</v>
          </cell>
        </row>
        <row r="32">
          <cell r="J32">
            <v>103</v>
          </cell>
          <cell r="O32">
            <v>50000</v>
          </cell>
        </row>
        <row r="33">
          <cell r="J33">
            <v>104</v>
          </cell>
          <cell r="O33">
            <v>50000</v>
          </cell>
        </row>
        <row r="34">
          <cell r="J34">
            <v>105</v>
          </cell>
          <cell r="O34">
            <v>50000</v>
          </cell>
        </row>
        <row r="35">
          <cell r="J35">
            <v>106</v>
          </cell>
          <cell r="O35">
            <v>50000</v>
          </cell>
        </row>
        <row r="36">
          <cell r="J36">
            <v>107</v>
          </cell>
          <cell r="O36">
            <v>50000</v>
          </cell>
        </row>
        <row r="37">
          <cell r="J37">
            <v>108</v>
          </cell>
          <cell r="O37">
            <v>50000</v>
          </cell>
        </row>
        <row r="38">
          <cell r="J38">
            <v>109</v>
          </cell>
          <cell r="O38">
            <v>50000</v>
          </cell>
        </row>
        <row r="39">
          <cell r="J39">
            <v>110</v>
          </cell>
          <cell r="O39">
            <v>50000</v>
          </cell>
        </row>
        <row r="40">
          <cell r="J40">
            <v>111</v>
          </cell>
          <cell r="O40">
            <v>50000</v>
          </cell>
        </row>
        <row r="41">
          <cell r="J41">
            <v>112</v>
          </cell>
          <cell r="O41">
            <v>50000</v>
          </cell>
        </row>
        <row r="42">
          <cell r="J42">
            <v>113</v>
          </cell>
          <cell r="O42">
            <v>50000</v>
          </cell>
        </row>
        <row r="43">
          <cell r="J43">
            <v>114</v>
          </cell>
          <cell r="O43">
            <v>50000</v>
          </cell>
        </row>
        <row r="44">
          <cell r="J44">
            <v>115</v>
          </cell>
          <cell r="O44">
            <v>50000</v>
          </cell>
        </row>
        <row r="45">
          <cell r="J45">
            <v>116</v>
          </cell>
          <cell r="O45">
            <v>50000</v>
          </cell>
        </row>
        <row r="46">
          <cell r="J46">
            <v>117</v>
          </cell>
          <cell r="O46">
            <v>50000</v>
          </cell>
        </row>
        <row r="47">
          <cell r="J47">
            <v>118</v>
          </cell>
          <cell r="O47">
            <v>50000</v>
          </cell>
        </row>
        <row r="48">
          <cell r="J48">
            <v>119</v>
          </cell>
          <cell r="O48">
            <v>50000</v>
          </cell>
        </row>
        <row r="49">
          <cell r="J49">
            <v>120</v>
          </cell>
          <cell r="O49">
            <v>50000</v>
          </cell>
        </row>
        <row r="50">
          <cell r="J50">
            <v>121</v>
          </cell>
          <cell r="O50">
            <v>50000</v>
          </cell>
        </row>
        <row r="51">
          <cell r="J51">
            <v>122</v>
          </cell>
          <cell r="O51">
            <v>50000</v>
          </cell>
        </row>
        <row r="52">
          <cell r="J52">
            <v>123</v>
          </cell>
          <cell r="O52">
            <v>50000</v>
          </cell>
        </row>
        <row r="53">
          <cell r="J53">
            <v>124</v>
          </cell>
          <cell r="O53">
            <v>50000</v>
          </cell>
        </row>
        <row r="54">
          <cell r="J54">
            <v>125</v>
          </cell>
          <cell r="O54">
            <v>50000</v>
          </cell>
        </row>
        <row r="55">
          <cell r="J55">
            <v>126</v>
          </cell>
          <cell r="O55">
            <v>50000</v>
          </cell>
        </row>
        <row r="56">
          <cell r="J56">
            <v>127</v>
          </cell>
          <cell r="O56">
            <v>50000</v>
          </cell>
        </row>
        <row r="57">
          <cell r="J57">
            <v>128</v>
          </cell>
          <cell r="O57">
            <v>50000</v>
          </cell>
        </row>
        <row r="58">
          <cell r="J58">
            <v>129</v>
          </cell>
          <cell r="O58">
            <v>50000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zoomScale="110" zoomScaleNormal="110" workbookViewId="0">
      <selection activeCell="B7" sqref="B7:B10"/>
    </sheetView>
  </sheetViews>
  <sheetFormatPr baseColWidth="8" defaultRowHeight="15"/>
  <cols>
    <col width="27" customWidth="1" min="1" max="1"/>
    <col width="13" customWidth="1" min="2" max="2"/>
    <col width="27" customWidth="1" min="4" max="4"/>
    <col width="13" customWidth="1" min="5" max="5"/>
    <col width="27" customWidth="1" min="7" max="7"/>
    <col width="13" customWidth="1" min="8" max="8"/>
    <col width="27" customWidth="1" min="10" max="10"/>
    <col width="13" customWidth="1" min="11" max="11"/>
    <col width="27" customWidth="1" min="13" max="13"/>
    <col width="13" customWidth="1" min="14" max="14"/>
    <col width="27" customWidth="1" min="16" max="16"/>
    <col width="13" customWidth="1" min="17" max="17"/>
  </cols>
  <sheetData>
    <row r="1">
      <c r="A1" s="50" t="inlineStr">
        <is>
          <t>PSAMG BSM/Monte Carlo/Payoff Diagram | Suhas Kothuru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2" t="n"/>
    </row>
    <row r="2">
      <c r="A2" s="53" t="n"/>
      <c r="O2" s="54" t="n"/>
    </row>
    <row r="3">
      <c r="A3" s="53" t="n"/>
      <c r="O3" s="54" t="n"/>
    </row>
    <row r="4" ht="15.75" customHeight="1" thickBot="1">
      <c r="A4" s="55" t="n"/>
      <c r="B4" s="56" t="n"/>
      <c r="C4" s="56" t="n"/>
      <c r="D4" s="56" t="n"/>
      <c r="E4" s="56" t="n"/>
      <c r="F4" s="56" t="n"/>
      <c r="G4" s="56" t="n"/>
      <c r="H4" s="56" t="n"/>
      <c r="I4" s="56" t="n"/>
      <c r="J4" s="56" t="n"/>
      <c r="K4" s="56" t="n"/>
      <c r="L4" s="56" t="n"/>
      <c r="M4" s="56" t="n"/>
      <c r="N4" s="56" t="n"/>
      <c r="O4" s="57" t="n"/>
    </row>
    <row r="7" ht="26.25" customHeight="1">
      <c r="A7" s="15" t="inlineStr">
        <is>
          <t>Spot Price</t>
        </is>
      </c>
      <c r="B7" s="49" t="n">
        <v>2.892</v>
      </c>
    </row>
    <row r="8" ht="26.25" customHeight="1">
      <c r="A8" s="16" t="inlineStr">
        <is>
          <t>Number of Legs</t>
        </is>
      </c>
      <c r="B8" s="49" t="n">
        <v>2</v>
      </c>
    </row>
    <row r="9" ht="26.25" customHeight="1">
      <c r="A9" s="15" t="inlineStr">
        <is>
          <t>Sector</t>
        </is>
      </c>
      <c r="B9" s="49" t="inlineStr"/>
    </row>
    <row r="10" ht="26.25" customHeight="1">
      <c r="A10" s="17" t="inlineStr">
        <is>
          <t>Strategy Name</t>
        </is>
      </c>
      <c r="B10" s="49" t="inlineStr"/>
    </row>
    <row r="12" ht="33" customHeight="1">
      <c r="A12" s="14" t="inlineStr">
        <is>
          <t>Leg 1</t>
        </is>
      </c>
      <c r="D12" s="14" t="inlineStr">
        <is>
          <t>Leg 2</t>
        </is>
      </c>
      <c r="G12" s="14" t="inlineStr">
        <is>
          <t>Leg 3</t>
        </is>
      </c>
      <c r="J12" s="14" t="inlineStr">
        <is>
          <t>Leg 4</t>
        </is>
      </c>
    </row>
    <row r="13">
      <c r="A13" s="11" t="inlineStr">
        <is>
          <t>Asset Class</t>
        </is>
      </c>
      <c r="B13" s="44" t="inlineStr">
        <is>
          <t>equity</t>
        </is>
      </c>
      <c r="D13" s="11" t="inlineStr">
        <is>
          <t>Asset Class</t>
        </is>
      </c>
      <c r="E13" s="44" t="inlineStr">
        <is>
          <t>equity</t>
        </is>
      </c>
      <c r="G13" s="11" t="inlineStr">
        <is>
          <t>Asset Class</t>
        </is>
      </c>
      <c r="H13" s="44" t="n"/>
      <c r="J13" s="11" t="inlineStr">
        <is>
          <t>Asset Class</t>
        </is>
      </c>
      <c r="K13" s="44" t="n"/>
    </row>
    <row r="14">
      <c r="A14" s="10" t="inlineStr">
        <is>
          <t>Strike Price</t>
        </is>
      </c>
      <c r="B14" s="58" t="n">
        <v>3.2</v>
      </c>
      <c r="D14" s="10" t="inlineStr">
        <is>
          <t>Strike Price</t>
        </is>
      </c>
      <c r="E14" s="58" t="n">
        <v>3.3</v>
      </c>
      <c r="G14" s="10" t="inlineStr">
        <is>
          <t>Strike Price</t>
        </is>
      </c>
      <c r="H14" s="58" t="n"/>
      <c r="J14" s="10" t="inlineStr">
        <is>
          <t>Strike Price</t>
        </is>
      </c>
      <c r="K14" s="58" t="n"/>
    </row>
    <row r="15">
      <c r="A15" s="11" t="inlineStr">
        <is>
          <t>Option Type</t>
        </is>
      </c>
      <c r="B15" s="47" t="inlineStr">
        <is>
          <t>Call</t>
        </is>
      </c>
      <c r="D15" s="11" t="inlineStr">
        <is>
          <t>Option Type</t>
        </is>
      </c>
      <c r="E15" s="47" t="inlineStr">
        <is>
          <t>Call</t>
        </is>
      </c>
      <c r="G15" s="11" t="inlineStr">
        <is>
          <t>Option Type</t>
        </is>
      </c>
      <c r="H15" s="47" t="n"/>
      <c r="J15" s="11" t="inlineStr">
        <is>
          <t>Option Type</t>
        </is>
      </c>
      <c r="K15" s="47" t="n"/>
    </row>
    <row r="16">
      <c r="A16" s="10" t="inlineStr">
        <is>
          <t>Position</t>
        </is>
      </c>
      <c r="B16" s="47" t="inlineStr">
        <is>
          <t>Long</t>
        </is>
      </c>
      <c r="D16" s="10" t="inlineStr">
        <is>
          <t>Position</t>
        </is>
      </c>
      <c r="E16" s="47" t="inlineStr">
        <is>
          <t>Long</t>
        </is>
      </c>
      <c r="G16" s="10" t="inlineStr">
        <is>
          <t>Position</t>
        </is>
      </c>
      <c r="H16" s="47" t="n"/>
      <c r="J16" s="10" t="inlineStr">
        <is>
          <t>Position</t>
        </is>
      </c>
      <c r="K16" s="47" t="n"/>
    </row>
    <row r="17">
      <c r="A17" s="11" t="inlineStr">
        <is>
          <t>Current Date</t>
        </is>
      </c>
      <c r="B17" s="59" t="inlineStr">
        <is>
          <t>2000-01-01</t>
        </is>
      </c>
      <c r="D17" s="11" t="inlineStr">
        <is>
          <t>Current Date</t>
        </is>
      </c>
      <c r="E17" s="59" t="inlineStr">
        <is>
          <t>2000-01-01</t>
        </is>
      </c>
      <c r="G17" s="11" t="inlineStr">
        <is>
          <t>Current Date</t>
        </is>
      </c>
      <c r="H17" s="59" t="n"/>
      <c r="J17" s="11" t="inlineStr">
        <is>
          <t>Current Date</t>
        </is>
      </c>
      <c r="K17" s="59" t="n"/>
    </row>
    <row r="18">
      <c r="A18" s="10" t="inlineStr">
        <is>
          <t>Maturity Date</t>
        </is>
      </c>
      <c r="B18" s="59" t="inlineStr">
        <is>
          <t>2001-01-01</t>
        </is>
      </c>
      <c r="D18" s="10" t="inlineStr">
        <is>
          <t>Maturity Date</t>
        </is>
      </c>
      <c r="E18" s="59" t="inlineStr">
        <is>
          <t>2001-01-01</t>
        </is>
      </c>
      <c r="G18" s="10" t="inlineStr">
        <is>
          <t>Maturity Date</t>
        </is>
      </c>
      <c r="H18" s="59" t="n"/>
      <c r="J18" s="10" t="inlineStr">
        <is>
          <t>Maturity Date</t>
        </is>
      </c>
      <c r="K18" s="59" t="n"/>
    </row>
    <row r="19">
      <c r="A19" s="11" t="inlineStr">
        <is>
          <t>Time (in years)</t>
        </is>
      </c>
      <c r="B19" s="45" t="n">
        <v>1.002739726027397</v>
      </c>
      <c r="D19" s="11" t="inlineStr">
        <is>
          <t>Time (in years)</t>
        </is>
      </c>
      <c r="E19" s="45" t="n">
        <v>1.002739726027397</v>
      </c>
      <c r="G19" s="11" t="inlineStr">
        <is>
          <t>Time (in years)</t>
        </is>
      </c>
      <c r="H19" s="45" t="n"/>
      <c r="J19" s="11" t="inlineStr">
        <is>
          <t>Time (in years)</t>
        </is>
      </c>
      <c r="K19" s="45" t="n"/>
    </row>
    <row r="20" ht="15.75" customHeight="1" thickBot="1">
      <c r="A20" s="13" t="inlineStr">
        <is>
          <t>Implied Volatility</t>
        </is>
      </c>
      <c r="B20" s="12" t="n">
        <v>0.4122698264336389</v>
      </c>
      <c r="D20" s="13" t="inlineStr">
        <is>
          <t>Implied Volatility</t>
        </is>
      </c>
      <c r="E20" s="12" t="n">
        <v>0.3961607535283285</v>
      </c>
      <c r="G20" s="13" t="inlineStr">
        <is>
          <t>Implied Volatility</t>
        </is>
      </c>
      <c r="H20" s="12" t="n"/>
      <c r="J20" s="13" t="inlineStr">
        <is>
          <t>Implied Volatility</t>
        </is>
      </c>
      <c r="K20" s="12" t="n"/>
    </row>
    <row r="21">
      <c r="A21" s="11" t="inlineStr">
        <is>
          <t>Risk-free rate</t>
        </is>
      </c>
      <c r="B21" s="12" t="n">
        <v>0.04</v>
      </c>
      <c r="D21" s="11" t="inlineStr">
        <is>
          <t>Risk-free rate</t>
        </is>
      </c>
      <c r="E21" s="12" t="n">
        <v>0.04</v>
      </c>
      <c r="G21" s="11" t="inlineStr">
        <is>
          <t>Risk-free rate</t>
        </is>
      </c>
      <c r="H21" s="12" t="n"/>
      <c r="J21" s="11" t="inlineStr">
        <is>
          <t>Risk-free rate</t>
        </is>
      </c>
      <c r="K21" s="12" t="n"/>
    </row>
    <row r="22" ht="15.75" customHeight="1" thickBot="1">
      <c r="A22" s="13" t="inlineStr">
        <is>
          <t>Foreign risk-free rate (for fx)</t>
        </is>
      </c>
      <c r="B22" s="12" t="n"/>
      <c r="D22" s="13" t="inlineStr">
        <is>
          <t>Foreign risk-free rate (for fx)</t>
        </is>
      </c>
      <c r="E22" s="12" t="n"/>
      <c r="G22" s="13" t="inlineStr">
        <is>
          <t>Foreign risk-free rate (for fx)</t>
        </is>
      </c>
      <c r="H22" s="12" t="n"/>
      <c r="J22" s="13" t="inlineStr">
        <is>
          <t>Foreign risk-free rate (for fx)</t>
        </is>
      </c>
      <c r="K22" s="12" t="n"/>
    </row>
    <row r="23">
      <c r="A23" s="11" t="inlineStr">
        <is>
          <t>Quantity</t>
        </is>
      </c>
      <c r="B23" s="45" t="n">
        <v>1</v>
      </c>
      <c r="D23" s="11" t="inlineStr">
        <is>
          <t>Quantity</t>
        </is>
      </c>
      <c r="E23" s="45" t="n">
        <v>1</v>
      </c>
      <c r="G23" s="11" t="inlineStr">
        <is>
          <t>Quantity</t>
        </is>
      </c>
      <c r="H23" s="45" t="n"/>
      <c r="J23" s="11" t="inlineStr">
        <is>
          <t>Quantity</t>
        </is>
      </c>
      <c r="K23" s="45" t="n"/>
    </row>
    <row r="25" ht="15" customHeight="1"/>
    <row r="26" ht="15" customHeight="1"/>
  </sheetData>
  <mergeCells count="1">
    <mergeCell ref="A1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tabSelected="1" zoomScale="75" workbookViewId="0">
      <selection activeCell="M31" sqref="M31"/>
    </sheetView>
  </sheetViews>
  <sheetFormatPr baseColWidth="8" defaultColWidth="12.42578125" defaultRowHeight="18" customHeight="1"/>
  <cols>
    <col width="17" customWidth="1" style="25" min="1" max="1"/>
    <col width="12.42578125" customWidth="1" style="25" min="2" max="14"/>
    <col width="21.140625" customWidth="1" style="25" min="15" max="15"/>
    <col width="12.42578125" customWidth="1" style="25" min="16" max="16384"/>
  </cols>
  <sheetData>
    <row r="1" ht="18" customHeight="1" thickBot="1">
      <c r="A1" s="22" t="inlineStr">
        <is>
          <t xml:space="preserve">Output </t>
        </is>
      </c>
      <c r="O1" s="23" t="inlineStr">
        <is>
          <t>Underlying Price</t>
        </is>
      </c>
      <c r="P1" s="24" t="inlineStr">
        <is>
          <t>3.2 LC</t>
        </is>
      </c>
      <c r="Q1" s="24" t="inlineStr">
        <is>
          <t>3.3 LC</t>
        </is>
      </c>
      <c r="R1" s="24" t="n"/>
      <c r="S1" s="24" t="n"/>
      <c r="T1" s="24" t="inlineStr">
        <is>
          <t>All</t>
        </is>
      </c>
    </row>
    <row r="2" ht="18" customHeight="1">
      <c r="O2" s="60" t="n">
        <v>2.68</v>
      </c>
      <c r="P2" s="61" t="n">
        <v>-0.402</v>
      </c>
      <c r="Q2" s="61" t="n">
        <v>-0.35</v>
      </c>
      <c r="R2" s="61" t="n"/>
      <c r="S2" s="61" t="n"/>
      <c r="T2" s="61" t="n">
        <v>-0.752</v>
      </c>
    </row>
    <row r="3" ht="18" customHeight="1">
      <c r="O3" s="62" t="n">
        <v>2.7</v>
      </c>
      <c r="P3" s="61" t="n">
        <v>-0.402</v>
      </c>
      <c r="Q3" s="61" t="n">
        <v>-0.35</v>
      </c>
      <c r="R3" s="61" t="n"/>
      <c r="S3" s="61" t="n"/>
      <c r="T3" s="61" t="n">
        <v>-0.752</v>
      </c>
    </row>
    <row r="4" ht="18" customHeight="1">
      <c r="O4" s="62" t="n">
        <v>2.72</v>
      </c>
      <c r="P4" s="61" t="n">
        <v>-0.402</v>
      </c>
      <c r="Q4" s="61" t="n">
        <v>-0.35</v>
      </c>
      <c r="R4" s="61" t="n"/>
      <c r="S4" s="61" t="n"/>
      <c r="T4" s="61" t="n">
        <v>-0.752</v>
      </c>
    </row>
    <row r="5" ht="18" customHeight="1" thickBot="1">
      <c r="O5" s="62" t="n">
        <v>2.74</v>
      </c>
      <c r="P5" s="61" t="n">
        <v>-0.402</v>
      </c>
      <c r="Q5" s="61" t="n">
        <v>-0.35</v>
      </c>
      <c r="R5" s="61" t="n"/>
      <c r="S5" s="61" t="n"/>
      <c r="T5" s="61" t="n">
        <v>-0.752</v>
      </c>
    </row>
    <row r="6" ht="18" customHeight="1">
      <c r="A6" s="29" t="inlineStr">
        <is>
          <t>Greeks (BSM Model)</t>
        </is>
      </c>
      <c r="B6" s="30" t="n"/>
      <c r="C6" s="31" t="n"/>
      <c r="D6" s="31" t="n"/>
      <c r="E6" s="31" t="n"/>
      <c r="F6" s="31" t="n"/>
      <c r="J6" s="32" t="inlineStr">
        <is>
          <t>Lot Size</t>
        </is>
      </c>
      <c r="K6" s="33" t="n"/>
      <c r="O6" s="62" t="n">
        <v>2.76</v>
      </c>
      <c r="P6" s="61" t="n">
        <v>-0.402</v>
      </c>
      <c r="Q6" s="61" t="n">
        <v>-0.35</v>
      </c>
      <c r="R6" s="61" t="n"/>
      <c r="S6" s="61" t="n"/>
      <c r="T6" s="61" t="n">
        <v>-0.752</v>
      </c>
    </row>
    <row r="7" ht="18" customHeight="1">
      <c r="A7" s="34" t="n"/>
      <c r="B7" s="35" t="inlineStr">
        <is>
          <t>Total</t>
        </is>
      </c>
      <c r="C7" s="36" t="inlineStr">
        <is>
          <t>3.2 LC</t>
        </is>
      </c>
      <c r="D7" s="36" t="inlineStr">
        <is>
          <t>3.3 LC</t>
        </is>
      </c>
      <c r="E7" s="36" t="n"/>
      <c r="F7" s="36" t="n"/>
      <c r="J7" s="37" t="n">
        <v>2.68</v>
      </c>
      <c r="K7" s="33" t="n"/>
      <c r="O7" s="62" t="n">
        <v>2.78</v>
      </c>
      <c r="P7" s="61" t="n">
        <v>-0.402</v>
      </c>
      <c r="Q7" s="61" t="n">
        <v>-0.35</v>
      </c>
      <c r="R7" s="61" t="n"/>
      <c r="S7" s="61" t="n"/>
      <c r="T7" s="61" t="n">
        <v>-0.752</v>
      </c>
    </row>
    <row r="8" ht="18" customHeight="1" thickBot="1">
      <c r="A8" s="38" t="inlineStr">
        <is>
          <t>Delta (δ)</t>
        </is>
      </c>
      <c r="B8" s="39" t="n">
        <v>1.010048255194299</v>
      </c>
      <c r="C8" s="39" t="n">
        <v>0.5232981147213431</v>
      </c>
      <c r="D8" s="39" t="n">
        <v>0.4867501404729556</v>
      </c>
      <c r="E8" s="39" t="n"/>
      <c r="F8" s="39" t="n"/>
      <c r="J8" s="40" t="n">
        <v>0.02</v>
      </c>
      <c r="K8" s="33" t="n"/>
      <c r="O8" s="62" t="n">
        <v>2.8</v>
      </c>
      <c r="P8" s="61" t="n">
        <v>-0.402</v>
      </c>
      <c r="Q8" s="61" t="n">
        <v>-0.35</v>
      </c>
      <c r="R8" s="61" t="n"/>
      <c r="S8" s="61" t="n"/>
      <c r="T8" s="61" t="n">
        <v>-0.752</v>
      </c>
    </row>
    <row r="9" ht="18" customHeight="1">
      <c r="A9" s="38" t="inlineStr">
        <is>
          <t>Gamma (γ)</t>
        </is>
      </c>
      <c r="B9" s="39" t="n">
        <v>0.6811173596142306</v>
      </c>
      <c r="C9" s="39" t="n">
        <v>0.3335759155587338</v>
      </c>
      <c r="D9" s="39" t="n">
        <v>0.3475414440554968</v>
      </c>
      <c r="E9" s="39" t="n"/>
      <c r="F9" s="39" t="n"/>
      <c r="O9" s="62" t="n">
        <v>2.82</v>
      </c>
      <c r="P9" s="61" t="n">
        <v>-0.402</v>
      </c>
      <c r="Q9" s="61" t="n">
        <v>-0.35</v>
      </c>
      <c r="R9" s="61" t="n"/>
      <c r="S9" s="61" t="n"/>
      <c r="T9" s="61" t="n">
        <v>-0.752</v>
      </c>
    </row>
    <row r="10" ht="18" customHeight="1">
      <c r="A10" s="38" t="inlineStr">
        <is>
          <t>Vega (ν)</t>
        </is>
      </c>
      <c r="B10" s="39" t="n">
        <v>2.308032979040842</v>
      </c>
      <c r="C10" s="39" t="n">
        <v>1.15334977521986</v>
      </c>
      <c r="D10" s="39" t="n">
        <v>1.154683203820982</v>
      </c>
      <c r="E10" s="39" t="n"/>
      <c r="F10" s="39" t="n"/>
      <c r="O10" s="62" t="n">
        <v>2.84</v>
      </c>
      <c r="P10" s="61" t="n">
        <v>-0.402</v>
      </c>
      <c r="Q10" s="61" t="n">
        <v>-0.35</v>
      </c>
      <c r="R10" s="61" t="n"/>
      <c r="S10" s="61" t="n"/>
      <c r="T10" s="61" t="n">
        <v>-0.752</v>
      </c>
    </row>
    <row r="11" ht="18" customHeight="1">
      <c r="A11" s="38" t="inlineStr">
        <is>
          <t>Theta (θ)</t>
        </is>
      </c>
      <c r="B11" s="39" t="n">
        <v>-0.5519536254835234</v>
      </c>
      <c r="C11" s="39" t="n">
        <v>-0.2815512034399492</v>
      </c>
      <c r="D11" s="39" t="n">
        <v>-0.2704024220435742</v>
      </c>
      <c r="E11" s="39" t="n"/>
      <c r="F11" s="39" t="n"/>
      <c r="O11" s="62" t="n">
        <v>2.86</v>
      </c>
      <c r="P11" s="61" t="n">
        <v>-0.402</v>
      </c>
      <c r="Q11" s="61" t="n">
        <v>-0.35</v>
      </c>
      <c r="R11" s="61" t="n"/>
      <c r="S11" s="61" t="n"/>
      <c r="T11" s="61" t="n">
        <v>-0.752</v>
      </c>
    </row>
    <row r="12" ht="18" customHeight="1">
      <c r="A12" s="38" t="inlineStr">
        <is>
          <t>Rho (ρ)</t>
        </is>
      </c>
      <c r="B12" s="39" t="n">
        <v>2.175002182937014</v>
      </c>
      <c r="C12" s="39" t="n">
        <v>1.114423019411865</v>
      </c>
      <c r="D12" s="39" t="n">
        <v>1.060579163525149</v>
      </c>
      <c r="E12" s="39" t="n"/>
      <c r="F12" s="39" t="n"/>
      <c r="O12" s="62" t="n">
        <v>2.88</v>
      </c>
      <c r="P12" s="61" t="n">
        <v>-0.402</v>
      </c>
      <c r="Q12" s="61" t="n">
        <v>-0.35</v>
      </c>
      <c r="R12" s="61" t="n"/>
      <c r="S12" s="61" t="n"/>
      <c r="T12" s="61" t="n">
        <v>-0.752</v>
      </c>
    </row>
    <row r="13" ht="18" customHeight="1">
      <c r="A13" s="41" t="inlineStr">
        <is>
          <t>Phi (φ)</t>
        </is>
      </c>
      <c r="B13" s="39" t="n">
        <v>0</v>
      </c>
      <c r="C13" s="39" t="n">
        <v>0</v>
      </c>
      <c r="D13" s="39" t="n">
        <v>0</v>
      </c>
      <c r="E13" s="39" t="n"/>
      <c r="F13" s="39" t="n"/>
      <c r="O13" s="62" t="n">
        <v>2.9</v>
      </c>
      <c r="P13" s="61" t="n">
        <v>-0.402</v>
      </c>
      <c r="Q13" s="61" t="n">
        <v>-0.35</v>
      </c>
      <c r="R13" s="61" t="n"/>
      <c r="S13" s="61" t="n"/>
      <c r="T13" s="61" t="n">
        <v>-0.752</v>
      </c>
    </row>
    <row r="14" ht="18" customHeight="1" thickBot="1">
      <c r="O14" s="62" t="n">
        <v>2.92</v>
      </c>
      <c r="P14" s="61" t="n">
        <v>-0.402</v>
      </c>
      <c r="Q14" s="61" t="n">
        <v>-0.35</v>
      </c>
      <c r="R14" s="61" t="n"/>
      <c r="S14" s="61" t="n"/>
      <c r="T14" s="61" t="n">
        <v>-0.752</v>
      </c>
    </row>
    <row r="15" ht="18" customHeight="1">
      <c r="A15" s="29" t="inlineStr">
        <is>
          <t>Pricing</t>
        </is>
      </c>
      <c r="B15" s="30" t="n"/>
      <c r="C15" s="31" t="n"/>
      <c r="D15" s="31" t="n"/>
      <c r="E15" s="31" t="n"/>
      <c r="F15" s="31" t="n"/>
      <c r="O15" s="62" t="n">
        <v>2.94</v>
      </c>
      <c r="P15" s="61" t="n">
        <v>-0.402</v>
      </c>
      <c r="Q15" s="61" t="n">
        <v>-0.35</v>
      </c>
      <c r="R15" s="61" t="n"/>
      <c r="S15" s="61" t="n"/>
      <c r="T15" s="61" t="n">
        <v>-0.752</v>
      </c>
    </row>
    <row r="16" ht="18" customHeight="1">
      <c r="A16" s="34" t="n"/>
      <c r="B16" s="34" t="inlineStr">
        <is>
          <t>Total</t>
        </is>
      </c>
      <c r="C16" s="34" t="inlineStr">
        <is>
          <t>3.2 LC</t>
        </is>
      </c>
      <c r="D16" s="34" t="inlineStr">
        <is>
          <t>3.3 LC</t>
        </is>
      </c>
      <c r="E16" s="34" t="n"/>
      <c r="F16" s="34" t="n"/>
      <c r="O16" s="62" t="n">
        <v>2.96</v>
      </c>
      <c r="P16" s="61" t="n">
        <v>-0.402</v>
      </c>
      <c r="Q16" s="61" t="n">
        <v>-0.35</v>
      </c>
      <c r="R16" s="61" t="n"/>
      <c r="S16" s="61" t="n"/>
      <c r="T16" s="61" t="n">
        <v>-0.752</v>
      </c>
    </row>
    <row r="17" ht="18" customHeight="1">
      <c r="A17" s="42" t="inlineStr">
        <is>
          <t>BSM Model</t>
        </is>
      </c>
      <c r="B17" s="39" t="inlineStr">
        <is>
          <t>Black-Scholes-Merton</t>
        </is>
      </c>
      <c r="C17" s="39" t="inlineStr">
        <is>
          <t>Black-Scholes-Merton</t>
        </is>
      </c>
      <c r="D17" s="39" t="inlineStr">
        <is>
          <t>Black-Scholes-Merton</t>
        </is>
      </c>
      <c r="E17" s="39" t="n"/>
      <c r="F17" s="39" t="n"/>
      <c r="O17" s="62" t="n">
        <v>2.98</v>
      </c>
      <c r="P17" s="61" t="n">
        <v>-0.402</v>
      </c>
      <c r="Q17" s="61" t="n">
        <v>-0.35</v>
      </c>
      <c r="R17" s="61" t="n"/>
      <c r="S17" s="61" t="n"/>
      <c r="T17" s="61" t="n">
        <v>-0.752</v>
      </c>
    </row>
    <row r="18" ht="18" customHeight="1">
      <c r="A18" s="42" t="inlineStr">
        <is>
          <t>Theoretical Price</t>
        </is>
      </c>
      <c r="B18" s="39" t="n">
        <v>0.7520000000000262</v>
      </c>
      <c r="C18" s="39" t="n">
        <v>0.4019999999999966</v>
      </c>
      <c r="D18" s="39" t="n">
        <v>0.3500000000000296</v>
      </c>
      <c r="E18" s="39" t="n"/>
      <c r="F18" s="39" t="n"/>
      <c r="O18" s="62" t="n">
        <v>3</v>
      </c>
      <c r="P18" s="61" t="n">
        <v>-0.402</v>
      </c>
      <c r="Q18" s="61" t="n">
        <v>-0.35</v>
      </c>
      <c r="R18" s="61" t="n"/>
      <c r="S18" s="61" t="n"/>
      <c r="T18" s="61" t="n">
        <v>-0.752</v>
      </c>
    </row>
    <row r="19" ht="18" customHeight="1">
      <c r="A19" s="42" t="inlineStr">
        <is>
          <t>Monte-Carlo Price</t>
        </is>
      </c>
      <c r="B19" s="39" t="n">
        <v>0.8784612712644149</v>
      </c>
      <c r="C19" s="39" t="n">
        <v>0.4552056564521467</v>
      </c>
      <c r="D19" s="39" t="n">
        <v>0.4232556148122681</v>
      </c>
      <c r="E19" s="39" t="n"/>
      <c r="F19" s="39" t="n"/>
      <c r="O19" s="62" t="n">
        <v>3.02</v>
      </c>
      <c r="P19" s="61" t="n">
        <v>-0.402</v>
      </c>
      <c r="Q19" s="61" t="n">
        <v>-0.35</v>
      </c>
      <c r="R19" s="61" t="n"/>
      <c r="S19" s="61" t="n"/>
      <c r="T19" s="61" t="n">
        <v>-0.752</v>
      </c>
    </row>
    <row r="20" ht="18" customHeight="1">
      <c r="A20" s="42" t="inlineStr">
        <is>
          <t>GARCH Volatility</t>
        </is>
      </c>
      <c r="B20" s="39" t="n"/>
      <c r="C20" s="39" t="n">
        <v>0.535486376800423</v>
      </c>
      <c r="D20" s="39" t="n">
        <v>0.535486376800423</v>
      </c>
      <c r="E20" s="39" t="n"/>
      <c r="F20" s="39" t="n"/>
      <c r="O20" s="62" t="n">
        <v>3.04</v>
      </c>
      <c r="P20" s="61" t="n">
        <v>-0.402</v>
      </c>
      <c r="Q20" s="61" t="n">
        <v>-0.35</v>
      </c>
      <c r="R20" s="61" t="n"/>
      <c r="S20" s="61" t="n"/>
      <c r="T20" s="61" t="n">
        <v>-0.752</v>
      </c>
    </row>
    <row r="21" ht="18" customHeight="1">
      <c r="O21" s="62" t="n">
        <v>3.06</v>
      </c>
      <c r="P21" s="61" t="n">
        <v>-0.402</v>
      </c>
      <c r="Q21" s="61" t="n">
        <v>-0.35</v>
      </c>
      <c r="R21" s="61" t="n"/>
      <c r="S21" s="61" t="n"/>
      <c r="T21" s="61" t="n">
        <v>-0.752</v>
      </c>
    </row>
    <row r="22" ht="18" customHeight="1">
      <c r="A22" s="43" t="inlineStr">
        <is>
          <t>Trade Details</t>
        </is>
      </c>
      <c r="B22" s="43" t="n"/>
      <c r="O22" s="62" t="n">
        <v>3.08</v>
      </c>
      <c r="P22" s="61" t="n">
        <v>-0.402</v>
      </c>
      <c r="Q22" s="61" t="n">
        <v>-0.35</v>
      </c>
      <c r="R22" s="61" t="n"/>
      <c r="S22" s="61" t="n"/>
      <c r="T22" s="61" t="n">
        <v>-0.752</v>
      </c>
    </row>
    <row r="23" ht="18" customHeight="1">
      <c r="A23" s="42" t="inlineStr">
        <is>
          <t>Max Profit</t>
        </is>
      </c>
      <c r="B23" s="39" t="inlineStr">
        <is>
          <t>Unlimited</t>
        </is>
      </c>
      <c r="O23" s="62" t="n">
        <v>3.1</v>
      </c>
      <c r="P23" s="61" t="n">
        <v>-0.402</v>
      </c>
      <c r="Q23" s="61" t="n">
        <v>-0.35</v>
      </c>
      <c r="R23" s="61" t="n"/>
      <c r="S23" s="61" t="n"/>
      <c r="T23" s="61" t="n">
        <v>-0.752</v>
      </c>
    </row>
    <row r="24" ht="18" customHeight="1">
      <c r="A24" s="42" t="inlineStr">
        <is>
          <t>Max Loss</t>
        </is>
      </c>
      <c r="B24" s="39" t="n">
        <v>-0.752</v>
      </c>
      <c r="O24" s="62" t="n">
        <v>3.12</v>
      </c>
      <c r="P24" s="61" t="n">
        <v>-0.402</v>
      </c>
      <c r="Q24" s="61" t="n">
        <v>-0.35</v>
      </c>
      <c r="R24" s="61" t="n"/>
      <c r="S24" s="61" t="n"/>
      <c r="T24" s="61" t="n">
        <v>-0.752</v>
      </c>
    </row>
    <row r="25" ht="18" customHeight="1">
      <c r="A25" s="42" t="inlineStr">
        <is>
          <t>Risk-Reward</t>
        </is>
      </c>
      <c r="B25" s="39" t="inlineStr">
        <is>
          <t>N/A</t>
        </is>
      </c>
      <c r="O25" s="62" t="n">
        <v>3.14</v>
      </c>
      <c r="P25" s="61" t="n">
        <v>-0.402</v>
      </c>
      <c r="Q25" s="61" t="n">
        <v>-0.35</v>
      </c>
      <c r="R25" s="61" t="n"/>
      <c r="S25" s="61" t="n"/>
      <c r="T25" s="61" t="n">
        <v>-0.752</v>
      </c>
    </row>
    <row r="26" ht="18" customHeight="1" thickBot="1">
      <c r="O26" s="62" t="n">
        <v>3.16</v>
      </c>
      <c r="P26" s="61" t="n">
        <v>-0.402</v>
      </c>
      <c r="Q26" s="61" t="n">
        <v>-0.35</v>
      </c>
      <c r="R26" s="61" t="n"/>
      <c r="S26" s="61" t="n"/>
      <c r="T26" s="61" t="n">
        <v>-0.752</v>
      </c>
    </row>
    <row r="27" ht="18" customHeight="1">
      <c r="A27" s="29" t="inlineStr">
        <is>
          <t>Monte Carlo for Slides</t>
        </is>
      </c>
      <c r="B27" s="30" t="n"/>
      <c r="C27" s="31" t="n"/>
      <c r="D27" s="31" t="n"/>
      <c r="E27" s="31" t="n"/>
      <c r="O27" s="62" t="n">
        <v>3.18</v>
      </c>
      <c r="P27" s="61" t="n">
        <v>-0.402</v>
      </c>
      <c r="Q27" s="61" t="n">
        <v>-0.35</v>
      </c>
      <c r="R27" s="61" t="n"/>
      <c r="S27" s="61" t="n"/>
      <c r="T27" s="61" t="n">
        <v>-0.752</v>
      </c>
    </row>
    <row r="28" ht="18" customHeight="1">
      <c r="A28" s="20" t="inlineStr">
        <is>
          <t>Option</t>
        </is>
      </c>
      <c r="B28" s="18" t="inlineStr">
        <is>
          <t>Long Call</t>
        </is>
      </c>
      <c r="C28" s="19" t="inlineStr">
        <is>
          <t>Long Call</t>
        </is>
      </c>
      <c r="D28" s="18" t="n"/>
      <c r="E28" s="19" t="n"/>
      <c r="O28" s="62" t="n">
        <v>3.2</v>
      </c>
      <c r="P28" s="61" t="n">
        <v>-0.402</v>
      </c>
      <c r="Q28" s="61" t="n">
        <v>-0.35</v>
      </c>
      <c r="R28" s="61" t="n"/>
      <c r="S28" s="61" t="n"/>
      <c r="T28" s="61" t="n">
        <v>-0.752</v>
      </c>
    </row>
    <row r="29" ht="18" customHeight="1">
      <c r="A29" s="20" t="inlineStr">
        <is>
          <t>Value</t>
        </is>
      </c>
      <c r="B29" s="63" t="n">
        <v>0.4552056564521467</v>
      </c>
      <c r="C29" s="63" t="n">
        <v>0.4232556148122681</v>
      </c>
      <c r="D29" s="63" t="n"/>
      <c r="E29" s="63" t="n"/>
      <c r="O29" s="62" t="n">
        <v>3.22</v>
      </c>
      <c r="P29" s="61" t="n">
        <v>-0.382</v>
      </c>
      <c r="Q29" s="61" t="n">
        <v>-0.35</v>
      </c>
      <c r="R29" s="61" t="n"/>
      <c r="S29" s="61" t="n"/>
      <c r="T29" s="61" t="n">
        <v>-0.732</v>
      </c>
    </row>
    <row r="30" ht="18" customHeight="1">
      <c r="O30" s="62" t="n">
        <v>3.24</v>
      </c>
      <c r="P30" s="61" t="n">
        <v>-0.362</v>
      </c>
      <c r="Q30" s="61" t="n">
        <v>-0.35</v>
      </c>
      <c r="R30" s="61" t="n"/>
      <c r="S30" s="61" t="n"/>
      <c r="T30" s="61" t="n">
        <v>-0.712</v>
      </c>
    </row>
    <row r="31" ht="18" customHeight="1">
      <c r="O31" s="62" t="n">
        <v>3.26</v>
      </c>
      <c r="P31" s="61" t="n">
        <v>-0.342</v>
      </c>
      <c r="Q31" s="61" t="n">
        <v>-0.35</v>
      </c>
      <c r="R31" s="61" t="n"/>
      <c r="S31" s="61" t="n"/>
      <c r="T31" s="61" t="n">
        <v>-0.6919999999999999</v>
      </c>
    </row>
    <row r="32" ht="18" customHeight="1">
      <c r="O32" s="62" t="n">
        <v>3.28</v>
      </c>
      <c r="P32" s="61" t="n">
        <v>-0.322</v>
      </c>
      <c r="Q32" s="61" t="n">
        <v>-0.35</v>
      </c>
      <c r="R32" s="61" t="n"/>
      <c r="S32" s="61" t="n"/>
      <c r="T32" s="61" t="n">
        <v>-0.6719999999999999</v>
      </c>
    </row>
    <row r="33" ht="18" customHeight="1">
      <c r="O33" s="62" t="n">
        <v>3.3</v>
      </c>
      <c r="P33" s="61" t="n">
        <v>-0.3019999999999999</v>
      </c>
      <c r="Q33" s="61" t="n">
        <v>-0.3499999999999995</v>
      </c>
      <c r="R33" s="61" t="n"/>
      <c r="S33" s="61" t="n"/>
      <c r="T33" s="61" t="n">
        <v>-0.6519999999999995</v>
      </c>
    </row>
    <row r="34" ht="18" customHeight="1">
      <c r="O34" s="62" t="n">
        <v>3.32</v>
      </c>
      <c r="P34" s="61" t="n">
        <v>-0.2819999999999999</v>
      </c>
      <c r="Q34" s="61" t="n">
        <v>-0.3299999999999995</v>
      </c>
      <c r="R34" s="61" t="n"/>
      <c r="S34" s="61" t="n"/>
      <c r="T34" s="61" t="n">
        <v>-0.6119999999999994</v>
      </c>
    </row>
    <row r="35" ht="18" customHeight="1">
      <c r="O35" s="62" t="n">
        <v>3.34</v>
      </c>
      <c r="P35" s="61" t="n">
        <v>-0.2619999999999999</v>
      </c>
      <c r="Q35" s="61" t="n">
        <v>-0.3099999999999995</v>
      </c>
      <c r="R35" s="61" t="n"/>
      <c r="S35" s="61" t="n"/>
      <c r="T35" s="61" t="n">
        <v>-0.5719999999999994</v>
      </c>
    </row>
    <row r="36" ht="18" customHeight="1">
      <c r="O36" s="62" t="n">
        <v>3.36</v>
      </c>
      <c r="P36" s="61" t="n">
        <v>-0.2419999999999999</v>
      </c>
      <c r="Q36" s="61" t="n">
        <v>-0.2899999999999995</v>
      </c>
      <c r="R36" s="61" t="n"/>
      <c r="S36" s="61" t="n"/>
      <c r="T36" s="61" t="n">
        <v>-0.5319999999999994</v>
      </c>
    </row>
    <row r="37" ht="18" customHeight="1">
      <c r="M37" s="25" t="inlineStr">
        <is>
          <t>\</t>
        </is>
      </c>
      <c r="O37" s="62" t="n">
        <v>3.38</v>
      </c>
      <c r="P37" s="61" t="n">
        <v>-0.2219999999999999</v>
      </c>
      <c r="Q37" s="61" t="n">
        <v>-0.2699999999999995</v>
      </c>
      <c r="R37" s="61" t="n"/>
      <c r="S37" s="61" t="n"/>
      <c r="T37" s="61" t="n">
        <v>-0.4919999999999993</v>
      </c>
    </row>
    <row r="38" ht="18" customHeight="1">
      <c r="O38" s="62" t="n">
        <v>3.4</v>
      </c>
      <c r="P38" s="61" t="n">
        <v>-0.2019999999999998</v>
      </c>
      <c r="Q38" s="61" t="n">
        <v>-0.2499999999999994</v>
      </c>
      <c r="R38" s="61" t="n"/>
      <c r="S38" s="61" t="n"/>
      <c r="T38" s="61" t="n">
        <v>-0.4519999999999993</v>
      </c>
    </row>
    <row r="39" ht="18" customHeight="1">
      <c r="O39" s="62" t="n">
        <v>3.42</v>
      </c>
      <c r="P39" s="61" t="n">
        <v>-0.1820000000000003</v>
      </c>
      <c r="Q39" s="61" t="n">
        <v>-0.2299999999999999</v>
      </c>
      <c r="R39" s="61" t="n"/>
      <c r="S39" s="61" t="n"/>
      <c r="T39" s="61" t="n">
        <v>-0.4120000000000001</v>
      </c>
    </row>
    <row r="40" ht="18" customHeight="1">
      <c r="O40" s="62" t="n">
        <v>3.44</v>
      </c>
      <c r="P40" s="61" t="n">
        <v>-0.1619999999999998</v>
      </c>
      <c r="Q40" s="61" t="n">
        <v>-0.2099999999999994</v>
      </c>
      <c r="R40" s="61" t="n"/>
      <c r="S40" s="61" t="n"/>
      <c r="T40" s="61" t="n">
        <v>-0.3719999999999992</v>
      </c>
    </row>
    <row r="41" ht="18" customHeight="1">
      <c r="O41" s="62" t="n">
        <v>3.46</v>
      </c>
      <c r="P41" s="61" t="n">
        <v>-0.1420000000000002</v>
      </c>
      <c r="Q41" s="61" t="n">
        <v>-0.1899999999999998</v>
      </c>
      <c r="R41" s="61" t="n"/>
      <c r="S41" s="61" t="n"/>
      <c r="T41" s="61" t="n">
        <v>-0.3320000000000001</v>
      </c>
    </row>
    <row r="42" ht="18" customHeight="1">
      <c r="O42" s="62" t="n">
        <v>3.48</v>
      </c>
      <c r="P42" s="61" t="n">
        <v>-0.1219999999999998</v>
      </c>
      <c r="Q42" s="61" t="n">
        <v>-0.1699999999999994</v>
      </c>
      <c r="R42" s="61" t="n"/>
      <c r="S42" s="61" t="n"/>
      <c r="T42" s="61" t="n">
        <v>-0.2919999999999991</v>
      </c>
    </row>
    <row r="43" ht="18" customHeight="1">
      <c r="O43" s="62" t="n">
        <v>3.5</v>
      </c>
      <c r="P43" s="61" t="n">
        <v>-0.1020000000000002</v>
      </c>
      <c r="Q43" s="61" t="n">
        <v>-0.1499999999999998</v>
      </c>
      <c r="R43" s="61" t="n"/>
      <c r="S43" s="61" t="n"/>
      <c r="T43" s="61" t="n">
        <v>-0.252</v>
      </c>
    </row>
    <row r="44" ht="18" customHeight="1">
      <c r="O44" s="62" t="n">
        <v>3.52</v>
      </c>
      <c r="P44" s="61" t="n">
        <v>-0.08200000000000018</v>
      </c>
      <c r="Q44" s="61" t="n">
        <v>-0.1299999999999998</v>
      </c>
      <c r="R44" s="61" t="n"/>
      <c r="S44" s="61" t="n"/>
      <c r="T44" s="61" t="n">
        <v>-0.212</v>
      </c>
    </row>
    <row r="45" ht="18" customHeight="1">
      <c r="O45" s="62" t="n">
        <v>3.54</v>
      </c>
      <c r="P45" s="61" t="n">
        <v>-0.06200000000000017</v>
      </c>
      <c r="Q45" s="61" t="n">
        <v>-0.1099999999999998</v>
      </c>
      <c r="R45" s="61" t="n"/>
      <c r="S45" s="61" t="n"/>
      <c r="T45" s="61" t="n">
        <v>-0.1719999999999999</v>
      </c>
    </row>
    <row r="46" ht="18" customHeight="1">
      <c r="O46" s="62" t="n">
        <v>3.56</v>
      </c>
      <c r="P46" s="61" t="n">
        <v>-0.04200000000000015</v>
      </c>
      <c r="Q46" s="61" t="n">
        <v>-0.08999999999999975</v>
      </c>
      <c r="R46" s="61" t="n"/>
      <c r="S46" s="61" t="n"/>
      <c r="T46" s="61" t="n">
        <v>-0.1319999999999999</v>
      </c>
    </row>
    <row r="47" ht="18" customHeight="1">
      <c r="O47" s="62" t="n">
        <v>3.58</v>
      </c>
      <c r="P47" s="61" t="n">
        <v>-0.02200000000000013</v>
      </c>
      <c r="Q47" s="61" t="n">
        <v>-0.06999999999999973</v>
      </c>
      <c r="R47" s="61" t="n"/>
      <c r="S47" s="61" t="n"/>
      <c r="T47" s="61" t="n">
        <v>-0.09199999999999986</v>
      </c>
    </row>
    <row r="48" ht="18" customHeight="1">
      <c r="O48" s="62" t="n">
        <v>3.6</v>
      </c>
      <c r="P48" s="61" t="n">
        <v>-0.002000000000000113</v>
      </c>
      <c r="Q48" s="61" t="n">
        <v>-0.04999999999999971</v>
      </c>
      <c r="R48" s="61" t="n"/>
      <c r="S48" s="61" t="n"/>
      <c r="T48" s="61" t="n">
        <v>-0.05199999999999982</v>
      </c>
    </row>
    <row r="49" ht="18" customHeight="1">
      <c r="O49" s="62" t="n">
        <v>3.62</v>
      </c>
      <c r="P49" s="61" t="n">
        <v>0.0179999999999999</v>
      </c>
      <c r="Q49" s="61" t="n">
        <v>-0.02999999999999969</v>
      </c>
      <c r="R49" s="61" t="n"/>
      <c r="S49" s="61" t="n"/>
      <c r="T49" s="61" t="n">
        <v>-0.01199999999999979</v>
      </c>
    </row>
    <row r="50" ht="18" customHeight="1">
      <c r="O50" s="62" t="n">
        <v>3.64</v>
      </c>
      <c r="P50" s="61" t="n">
        <v>0.03799999999999992</v>
      </c>
      <c r="Q50" s="61" t="n">
        <v>-0.009999999999999676</v>
      </c>
      <c r="R50" s="61" t="n"/>
      <c r="S50" s="61" t="n"/>
      <c r="T50" s="61" t="n">
        <v>0.02800000000000025</v>
      </c>
    </row>
    <row r="51" ht="18" customHeight="1">
      <c r="O51" s="62" t="n">
        <v>3.66</v>
      </c>
      <c r="P51" s="61" t="n">
        <v>0.05799999999999994</v>
      </c>
      <c r="Q51" s="61" t="n">
        <v>0.01000000000000034</v>
      </c>
      <c r="R51" s="61" t="n"/>
      <c r="S51" s="61" t="n"/>
      <c r="T51" s="61" t="n">
        <v>0.06800000000000028</v>
      </c>
    </row>
  </sheetData>
  <mergeCells count="1">
    <mergeCell ref="A1:N4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Suhas Kothuru</dc:creator>
  <dcterms:created xsi:type="dcterms:W3CDTF">2026-09-16T21:02:35Z</dcterms:created>
  <dcterms:modified xsi:type="dcterms:W3CDTF">2026-09-17T06:21:24Z</dcterms:modified>
  <cp:lastModifiedBy>Suhas Kothuru</cp:lastModifiedBy>
</cp:coreProperties>
</file>